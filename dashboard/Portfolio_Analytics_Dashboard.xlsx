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Dashboard" sheetId="1" r:id="rId1"/>
    <sheet name="Portfolio Analytics" sheetId="2" r:id="rId2"/>
    <sheet name="Risk Analytics" sheetId="3" r:id="rId3"/>
    <sheet name="Allocation &amp; Benchmark" sheetId="4" r:id="rId4"/>
    <sheet name="Stock Analytics" sheetId="5" r:id="rId5"/>
    <sheet name="Portfolio Summary" sheetId="6" r:id="rId6"/>
    <sheet name="Sector Allocation" sheetId="7" r:id="rId7"/>
    <sheet name="Risk Metrics" sheetId="8" r:id="rId8"/>
    <sheet name="Benchmark Comparison" sheetId="9" r:id="rId9"/>
    <sheet name="Correlation Matrix" sheetId="10" r:id="rId10"/>
  </sheets>
  <definedNames>
    <definedName name="_xlnm._FilterDatabase" localSheetId="8" hidden="1">'Benchmark Comparison'!$A$1:$G$4</definedName>
    <definedName name="_xlnm._FilterDatabase" localSheetId="9" hidden="1">'Correlation Matrix'!$A$1:$G$7</definedName>
    <definedName name="_xlnm._FilterDatabase" localSheetId="5" hidden="1">'Portfolio Summary'!$A$1:$E$4</definedName>
    <definedName name="_xlnm._FilterDatabase" localSheetId="7" hidden="1">'Risk Metrics'!$A$1:$E$7</definedName>
    <definedName name="_xlnm._FilterDatabase" localSheetId="6" hidden="1">'Sector Allocation'!$A$1:$C$5</definedName>
    <definedName name="_xlnm._FilterDatabase" localSheetId="4" hidden="1">'Stock Analytics'!$A$1:$L$7</definedName>
  </definedNames>
  <calcPr calcId="124519" fullCalcOnLoad="1"/>
</workbook>
</file>

<file path=xl/sharedStrings.xml><?xml version="1.0" encoding="utf-8"?>
<sst xmlns="http://schemas.openxmlformats.org/spreadsheetml/2006/main" count="214" uniqueCount="78">
  <si>
    <t>Portfolio</t>
  </si>
  <si>
    <t>Ticker</t>
  </si>
  <si>
    <t>Company</t>
  </si>
  <si>
    <t>Sector</t>
  </si>
  <si>
    <t>Quantity</t>
  </si>
  <si>
    <t>Buy Price</t>
  </si>
  <si>
    <t>Current Price</t>
  </si>
  <si>
    <t>Invested Amount</t>
  </si>
  <si>
    <t>Current Value</t>
  </si>
  <si>
    <t>Profit/Loss</t>
  </si>
  <si>
    <t>Absolute Return %</t>
  </si>
  <si>
    <t>CAGR %</t>
  </si>
  <si>
    <t>Growth</t>
  </si>
  <si>
    <t>Balanced</t>
  </si>
  <si>
    <t>Aggressive</t>
  </si>
  <si>
    <t>TCS.NS</t>
  </si>
  <si>
    <t>INFY.NS</t>
  </si>
  <si>
    <t>HDFCBANK.NS</t>
  </si>
  <si>
    <t>ICICIBANK.NS</t>
  </si>
  <si>
    <t>RELIANCE.NS</t>
  </si>
  <si>
    <t>ADANIENT.NS</t>
  </si>
  <si>
    <t>TCS</t>
  </si>
  <si>
    <t>Infosys</t>
  </si>
  <si>
    <t>HDFC Bank</t>
  </si>
  <si>
    <t>ICICI Bank</t>
  </si>
  <si>
    <t>Reliance</t>
  </si>
  <si>
    <t>Adani Enterprises</t>
  </si>
  <si>
    <t>IT</t>
  </si>
  <si>
    <t>Banking</t>
  </si>
  <si>
    <t>Energy</t>
  </si>
  <si>
    <t>Infrastructure</t>
  </si>
  <si>
    <t>Portfolio Return %</t>
  </si>
  <si>
    <t>Allocation %</t>
  </si>
  <si>
    <t>Annual Return</t>
  </si>
  <si>
    <t>Volatility</t>
  </si>
  <si>
    <t>Sharpe Ratio</t>
  </si>
  <si>
    <t>Maximum Drawdown</t>
  </si>
  <si>
    <t>Benchmark Return %</t>
  </si>
  <si>
    <t>Outperformance</t>
  </si>
  <si>
    <t>index</t>
  </si>
  <si>
    <t>Family Investment Intelligence Dashboard</t>
  </si>
  <si>
    <t>Executive snapshot of portfolio value, return, allocation, risk, and benchmark performance</t>
  </si>
  <si>
    <t>Total Invested</t>
  </si>
  <si>
    <t>Auto refreshed from pipeline exports</t>
  </si>
  <si>
    <t>Unrealized P/L</t>
  </si>
  <si>
    <t>Family Return</t>
  </si>
  <si>
    <t>Benchmark Return</t>
  </si>
  <si>
    <t>Relative Return</t>
  </si>
  <si>
    <t>Portfolio Value by Strategy</t>
  </si>
  <si>
    <t>Portfolio Return vs Benchmark</t>
  </si>
  <si>
    <t>Sector Allocation</t>
  </si>
  <si>
    <t>Risk-Adjusted Return Quality</t>
  </si>
  <si>
    <t>Automated Investment Insights</t>
  </si>
  <si>
    <t>Theme</t>
  </si>
  <si>
    <t>Insight</t>
  </si>
  <si>
    <t>Action</t>
  </si>
  <si>
    <t>Performance</t>
  </si>
  <si>
    <t>Growth is the weakest portfolio at -26.32% return.</t>
  </si>
  <si>
    <t>Review drawdown drivers and benchmark fit.</t>
  </si>
  <si>
    <t>Holding Quality</t>
  </si>
  <si>
    <t>ICICIBANK.NS is the best performer at 20.46%; HDFCBANK.NS is weakest at -51.20%.</t>
  </si>
  <si>
    <t>Separate structural winners from short-term price moves.</t>
  </si>
  <si>
    <t>Concentration</t>
  </si>
  <si>
    <t>IT has the largest sector weight at 47.43%.</t>
  </si>
  <si>
    <t>Set target allocation bands and rebalance if needed.</t>
  </si>
  <si>
    <t>Risk</t>
  </si>
  <si>
    <t>ADANIENT.NS has the highest annualized volatility at 33.07%.</t>
  </si>
  <si>
    <t>Check whether risk contribution is justified by return.</t>
  </si>
  <si>
    <t>Portfolio Analytics</t>
  </si>
  <si>
    <t>Strategy-level and holding-level performance review</t>
  </si>
  <si>
    <t>Portfolio-Level Summary</t>
  </si>
  <si>
    <t>Holding-Level Analytics</t>
  </si>
  <si>
    <t>Risk Analytics</t>
  </si>
  <si>
    <t>Return, volatility, Sharpe ratio, drawdown, and correlation heatmap</t>
  </si>
  <si>
    <t>Allocation &amp; Benchmark</t>
  </si>
  <si>
    <t>Sector exposure, allocation concentration, and relative performance</t>
  </si>
  <si>
    <t>Sector Allocation Table</t>
  </si>
  <si>
    <t>Benchmark Comparison Table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</si>
</sst>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0.00%"/>
    <numFmt numFmtId="166" formatCode="#,##0.00"/>
    <numFmt numFmtId="167" formatCode="0.00"/>
  </numFmts>
  <fonts count="11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D7DEE5"/>
      <name val="Calibri"/>
      <family val="2"/>
      <scheme val="minor"/>
    </font>
    <font>
      <b/>
      <sz val="10"/>
      <color rgb="FF64748B"/>
      <name val="Calibri"/>
      <family val="2"/>
      <scheme val="minor"/>
    </font>
    <font>
      <b/>
      <sz val="18"/>
      <color rgb="FF2563EB"/>
      <name val="Calibri"/>
      <family val="2"/>
      <scheme val="minor"/>
    </font>
    <font>
      <b/>
      <sz val="18"/>
      <color rgb="FF0F766E"/>
      <name val="Calibri"/>
      <family val="2"/>
      <scheme val="minor"/>
    </font>
    <font>
      <b/>
      <sz val="18"/>
      <color rgb="FFDC2626"/>
      <name val="Calibri"/>
      <family val="2"/>
      <scheme val="minor"/>
    </font>
    <font>
      <b/>
      <sz val="18"/>
      <color rgb="FFD97706"/>
      <name val="Calibri"/>
      <family val="2"/>
      <scheme val="minor"/>
    </font>
    <font>
      <sz val="8"/>
      <color rgb="FF64748B"/>
      <name val="Calibri"/>
      <family val="2"/>
      <scheme val="minor"/>
    </font>
    <font>
      <b/>
      <sz val="12"/>
      <color rgb="FF17212B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7212B"/>
        <bgColor indexed="64"/>
      </patternFill>
    </fill>
    <fill>
      <patternFill patternType="solid">
        <fgColor rgb="FF2F3A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7"/>
        <bgColor indexed="64"/>
      </patternFill>
    </fill>
  </fills>
  <borders count="3">
    <border>
      <left/>
      <right/>
      <top/>
      <bottom/>
      <diagonal/>
    </border>
    <border>
      <left style="thin">
        <color rgb="FFD7DEE5"/>
      </left>
      <right style="thin">
        <color rgb="FFD7DEE5"/>
      </right>
      <top style="thin">
        <color rgb="FFD7DEE5"/>
      </top>
      <bottom style="thin">
        <color rgb="FFD7DEE5"/>
      </bottom>
      <diagonal/>
    </border>
    <border>
      <left style="thin">
        <color rgb="FF17212B"/>
      </left>
      <right style="thin">
        <color rgb="FF17212B"/>
      </right>
      <top style="thin">
        <color rgb="FF17212B"/>
      </top>
      <bottom style="thin">
        <color rgb="FF17212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4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164" fontId="5" fillId="4" borderId="1" xfId="0" applyNumberFormat="1" applyFont="1" applyFill="1" applyBorder="1" applyAlignment="1">
      <alignment vertical="center"/>
    </xf>
    <xf numFmtId="164" fontId="6" fillId="4" borderId="1" xfId="0" applyNumberFormat="1" applyFont="1" applyFill="1" applyBorder="1" applyAlignment="1">
      <alignment vertical="center"/>
    </xf>
    <xf numFmtId="165" fontId="6" fillId="4" borderId="1" xfId="0" applyNumberFormat="1" applyFont="1" applyFill="1" applyBorder="1" applyAlignment="1">
      <alignment vertical="center"/>
    </xf>
    <xf numFmtId="165" fontId="7" fillId="4" borderId="1" xfId="0" applyNumberFormat="1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9" fillId="5" borderId="1" xfId="0" applyFont="1" applyFill="1" applyBorder="1"/>
    <xf numFmtId="0" fontId="10" fillId="2" borderId="1" xfId="0" applyFont="1" applyFill="1" applyBorder="1"/>
    <xf numFmtId="0" fontId="0" fillId="0" borderId="1" xfId="0" applyBorder="1" applyAlignment="1">
      <alignment vertical="top" wrapText="1"/>
    </xf>
    <xf numFmtId="0" fontId="10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6" fontId="0" fillId="0" borderId="1" xfId="0" applyNumberFormat="1" applyBorder="1" applyAlignment="1">
      <alignment vertical="center"/>
    </xf>
    <xf numFmtId="167" fontId="0" fillId="0" borderId="1" xfId="0" applyNumberForma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Invested Amount vs Current Value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Invested</c:v>
          </c:tx>
          <c:spPr>
            <a:solidFill>
              <a:srgbClr val="0F766E"/>
            </a:solidFill>
          </c:spPr>
          <c:cat>
            <c:strRef>
              <c:f>'Portfolio Summary'!$A$2:$A$4</c:f>
              <c:strCache>
                <c:ptCount val="3"/>
                <c:pt idx="0">
                  <c:v>Aggressive</c:v>
                </c:pt>
                <c:pt idx="1">
                  <c:v>Balanced</c:v>
                </c:pt>
                <c:pt idx="2">
                  <c:v>Growth</c:v>
                </c:pt>
              </c:strCache>
            </c:strRef>
          </c:cat>
          <c:val>
            <c:numRef>
              <c:f>'Portfolio Summary'!$B$2:$B$4</c:f>
              <c:numCache>
                <c:formatCode>General</c:formatCode>
                <c:ptCount val="3"/>
                <c:pt idx="0">
                  <c:v>32800</c:v>
                </c:pt>
                <c:pt idx="1">
                  <c:v>25400</c:v>
                </c:pt>
                <c:pt idx="2">
                  <c:v>56500</c:v>
                </c:pt>
              </c:numCache>
            </c:numRef>
          </c:val>
        </c:ser>
        <c:ser>
          <c:idx val="1"/>
          <c:order val="1"/>
          <c:tx>
            <c:v>Current</c:v>
          </c:tx>
          <c:spPr>
            <a:solidFill>
              <a:srgbClr val="F97316"/>
            </a:solidFill>
          </c:spPr>
          <c:cat>
            <c:strRef>
              <c:f>'Portfolio Summary'!$A$2:$A$4</c:f>
              <c:strCache>
                <c:ptCount val="3"/>
                <c:pt idx="0">
                  <c:v>Aggressive</c:v>
                </c:pt>
                <c:pt idx="1">
                  <c:v>Balanced</c:v>
                </c:pt>
                <c:pt idx="2">
                  <c:v>Growth</c:v>
                </c:pt>
              </c:strCache>
            </c:strRef>
          </c:cat>
          <c:val>
            <c:numRef>
              <c:f>'Portfolio Summary'!$C$2:$C$4</c:f>
              <c:numCache>
                <c:formatCode>General</c:formatCode>
                <c:ptCount val="3"/>
                <c:pt idx="0">
                  <c:v>24717.3</c:v>
                </c:pt>
                <c:pt idx="1">
                  <c:v>21424.4</c:v>
                </c:pt>
                <c:pt idx="2">
                  <c:v>41632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Return % vs Benchmark %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Portfolio Return %</c:v>
          </c:tx>
          <c:spPr>
            <a:solidFill>
              <a:srgbClr val="0F766E"/>
            </a:solidFill>
          </c:spPr>
          <c:cat>
            <c:strRef>
              <c:f>'Benchmark Comparison'!$A$2:$A$4</c:f>
              <c:strCache>
                <c:ptCount val="3"/>
                <c:pt idx="0">
                  <c:v>Aggressive</c:v>
                </c:pt>
                <c:pt idx="1">
                  <c:v>Balanced</c:v>
                </c:pt>
                <c:pt idx="2">
                  <c:v>Growth</c:v>
                </c:pt>
              </c:strCache>
            </c:strRef>
          </c:cat>
          <c:val>
            <c:numRef>
              <c:f>'Benchmark Comparison'!$E$2:$E$4</c:f>
              <c:numCache>
                <c:formatCode>General</c:formatCode>
                <c:ptCount val="3"/>
                <c:pt idx="0">
                  <c:v>-24.64</c:v>
                </c:pt>
                <c:pt idx="1">
                  <c:v>-15.65</c:v>
                </c:pt>
                <c:pt idx="2">
                  <c:v>-26.32</c:v>
                </c:pt>
              </c:numCache>
            </c:numRef>
          </c:val>
        </c:ser>
        <c:ser>
          <c:idx val="1"/>
          <c:order val="1"/>
          <c:tx>
            <c:v>Benchmark Return %</c:v>
          </c:tx>
          <c:spPr>
            <a:solidFill>
              <a:srgbClr val="F97316"/>
            </a:solidFill>
          </c:spPr>
          <c:cat>
            <c:strRef>
              <c:f>'Benchmark Comparison'!$A$2:$A$4</c:f>
              <c:strCache>
                <c:ptCount val="3"/>
                <c:pt idx="0">
                  <c:v>Aggressive</c:v>
                </c:pt>
                <c:pt idx="1">
                  <c:v>Balanced</c:v>
                </c:pt>
                <c:pt idx="2">
                  <c:v>Growth</c:v>
                </c:pt>
              </c:strCache>
            </c:strRef>
          </c:cat>
          <c:val>
            <c:numRef>
              <c:f>'Benchmark Comparison'!$F$2:$F$4</c:f>
              <c:numCache>
                <c:formatCode>General</c:formatCode>
                <c:ptCount val="3"/>
                <c:pt idx="0">
                  <c:v>-0.4</c:v>
                </c:pt>
                <c:pt idx="1">
                  <c:v>-0.4</c:v>
                </c:pt>
                <c:pt idx="2">
                  <c:v>-0.4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Current Value Allocation %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Allocation %</c:v>
          </c:tx>
          <c:cat>
            <c:strRef>
              <c:f>'Sector Allocation'!$A$2:$A$5</c:f>
              <c:strCache>
                <c:ptCount val="4"/>
                <c:pt idx="0">
                  <c:v>Banking</c:v>
                </c:pt>
                <c:pt idx="1">
                  <c:v>Energy</c:v>
                </c:pt>
                <c:pt idx="2">
                  <c:v>IT</c:v>
                </c:pt>
                <c:pt idx="3">
                  <c:v>Infrastructure</c:v>
                </c:pt>
              </c:strCache>
            </c:strRef>
          </c:cat>
          <c:val>
            <c:numRef>
              <c:f>'Sector Allocation'!$C$2:$C$5</c:f>
              <c:numCache>
                <c:formatCode>General</c:formatCode>
                <c:ptCount val="4"/>
                <c:pt idx="0">
                  <c:v>24.41</c:v>
                </c:pt>
                <c:pt idx="1">
                  <c:v>8.18</c:v>
                </c:pt>
                <c:pt idx="2">
                  <c:v>47.43</c:v>
                </c:pt>
                <c:pt idx="3">
                  <c:v>19.98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Sharpe Ratio by Holding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Sharpe Ratio</c:v>
          </c:tx>
          <c:spPr>
            <a:solidFill>
              <a:srgbClr val="0F766E"/>
            </a:solidFill>
          </c:spPr>
          <c:cat>
            <c:strRef>
              <c:f>'Risk Metrics'!$A$2:$A$7</c:f>
              <c:strCache>
                <c:ptCount val="6"/>
                <c:pt idx="0">
                  <c:v>INFY.NS</c:v>
                </c:pt>
                <c:pt idx="1">
                  <c:v>HDFCBANK.NS</c:v>
                </c:pt>
                <c:pt idx="2">
                  <c:v>TCS.NS</c:v>
                </c:pt>
                <c:pt idx="3">
                  <c:v>RELIANCE.NS</c:v>
                </c:pt>
                <c:pt idx="4">
                  <c:v>ADANIENT.NS</c:v>
                </c:pt>
                <c:pt idx="5">
                  <c:v>ICICIBANK.NS</c:v>
                </c:pt>
              </c:strCache>
            </c:strRef>
          </c:cat>
          <c:val>
            <c:numRef>
              <c:f>'Risk Metrics'!$D$2:$D$7</c:f>
              <c:numCache>
                <c:formatCode>General</c:formatCode>
                <c:ptCount val="6"/>
                <c:pt idx="0">
                  <c:v>-0.98</c:v>
                </c:pt>
                <c:pt idx="1">
                  <c:v>-1.32</c:v>
                </c:pt>
                <c:pt idx="2">
                  <c:v>-1.7</c:v>
                </c:pt>
                <c:pt idx="3">
                  <c:v>-0.13</c:v>
                </c:pt>
                <c:pt idx="4">
                  <c:v>0.24</c:v>
                </c:pt>
                <c:pt idx="5">
                  <c:v>-0.93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Holding Current Value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Current Value</c:v>
          </c:tx>
          <c:spPr>
            <a:solidFill>
              <a:srgbClr val="0F766E"/>
            </a:solidFill>
          </c:spPr>
          <c:cat>
            <c:strRef>
              <c:f>'Stock Analytics'!$B$2:$B$7</c:f>
              <c:strCache>
                <c:ptCount val="6"/>
                <c:pt idx="0">
                  <c:v>TCS.NS</c:v>
                </c:pt>
                <c:pt idx="1">
                  <c:v>INFY.NS</c:v>
                </c:pt>
                <c:pt idx="2">
                  <c:v>HDFCBANK.NS</c:v>
                </c:pt>
                <c:pt idx="3">
                  <c:v>ICICIBANK.NS</c:v>
                </c:pt>
                <c:pt idx="4">
                  <c:v>RELIANCE.NS</c:v>
                </c:pt>
                <c:pt idx="5">
                  <c:v>ADANIENT.NS</c:v>
                </c:pt>
              </c:strCache>
            </c:strRef>
          </c:cat>
          <c:val>
            <c:numRef>
              <c:f>'Stock Analytics'!$I$2:$I$7</c:f>
              <c:numCache>
                <c:formatCode>General</c:formatCode>
                <c:ptCount val="6"/>
                <c:pt idx="0">
                  <c:v>23944</c:v>
                </c:pt>
                <c:pt idx="1">
                  <c:v>17688</c:v>
                </c:pt>
                <c:pt idx="2">
                  <c:v>6246.8</c:v>
                </c:pt>
                <c:pt idx="3">
                  <c:v>15177.6</c:v>
                </c:pt>
                <c:pt idx="4">
                  <c:v>7176</c:v>
                </c:pt>
                <c:pt idx="5">
                  <c:v>17541.3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Holding Absolute Return %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Absolute Return %</c:v>
          </c:tx>
          <c:spPr>
            <a:solidFill>
              <a:srgbClr val="0F766E"/>
            </a:solidFill>
          </c:spPr>
          <c:cat>
            <c:strRef>
              <c:f>'Stock Analytics'!$B$2:$B$7</c:f>
              <c:strCache>
                <c:ptCount val="6"/>
                <c:pt idx="0">
                  <c:v>TCS.NS</c:v>
                </c:pt>
                <c:pt idx="1">
                  <c:v>INFY.NS</c:v>
                </c:pt>
                <c:pt idx="2">
                  <c:v>HDFCBANK.NS</c:v>
                </c:pt>
                <c:pt idx="3">
                  <c:v>ICICIBANK.NS</c:v>
                </c:pt>
                <c:pt idx="4">
                  <c:v>RELIANCE.NS</c:v>
                </c:pt>
                <c:pt idx="5">
                  <c:v>ADANIENT.NS</c:v>
                </c:pt>
              </c:strCache>
            </c:strRef>
          </c:cat>
          <c:val>
            <c:numRef>
              <c:f>'Stock Analytics'!$K$2:$K$7</c:f>
              <c:numCache>
                <c:formatCode>General</c:formatCode>
                <c:ptCount val="6"/>
                <c:pt idx="0">
                  <c:v>-29.58</c:v>
                </c:pt>
                <c:pt idx="1">
                  <c:v>-21.39</c:v>
                </c:pt>
                <c:pt idx="2">
                  <c:v>-51.2</c:v>
                </c:pt>
                <c:pt idx="3">
                  <c:v>20.46</c:v>
                </c:pt>
                <c:pt idx="4">
                  <c:v>-42.59</c:v>
                </c:pt>
                <c:pt idx="5">
                  <c:v>-13.59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Return vs Volatility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Annual Return %</c:v>
          </c:tx>
          <c:spPr>
            <a:solidFill>
              <a:srgbClr val="0F766E"/>
            </a:solidFill>
          </c:spPr>
          <c:cat>
            <c:strRef>
              <c:f>'Risk Metrics'!$A$2:$A$7</c:f>
              <c:strCache>
                <c:ptCount val="6"/>
                <c:pt idx="0">
                  <c:v>INFY.NS</c:v>
                </c:pt>
                <c:pt idx="1">
                  <c:v>HDFCBANK.NS</c:v>
                </c:pt>
                <c:pt idx="2">
                  <c:v>TCS.NS</c:v>
                </c:pt>
                <c:pt idx="3">
                  <c:v>RELIANCE.NS</c:v>
                </c:pt>
                <c:pt idx="4">
                  <c:v>ADANIENT.NS</c:v>
                </c:pt>
                <c:pt idx="5">
                  <c:v>ICICIBANK.NS</c:v>
                </c:pt>
              </c:strCache>
            </c:strRef>
          </c:cat>
          <c:val>
            <c:numRef>
              <c:f>'Risk Metrics'!$B$2:$B$7</c:f>
              <c:numCache>
                <c:formatCode>General</c:formatCode>
                <c:ptCount val="6"/>
                <c:pt idx="0">
                  <c:v>-18.72</c:v>
                </c:pt>
                <c:pt idx="1">
                  <c:v>-18.18</c:v>
                </c:pt>
                <c:pt idx="2">
                  <c:v>-30.97</c:v>
                </c:pt>
                <c:pt idx="3">
                  <c:v>4.43</c:v>
                </c:pt>
                <c:pt idx="4">
                  <c:v>14.79</c:v>
                </c:pt>
                <c:pt idx="5">
                  <c:v>-10.31</c:v>
                </c:pt>
              </c:numCache>
            </c:numRef>
          </c:val>
        </c:ser>
        <c:ser>
          <c:idx val="1"/>
          <c:order val="1"/>
          <c:tx>
            <c:v>Volatility %</c:v>
          </c:tx>
          <c:spPr>
            <a:solidFill>
              <a:srgbClr val="F97316"/>
            </a:solidFill>
          </c:spPr>
          <c:cat>
            <c:strRef>
              <c:f>'Risk Metrics'!$A$2:$A$7</c:f>
              <c:strCache>
                <c:ptCount val="6"/>
                <c:pt idx="0">
                  <c:v>INFY.NS</c:v>
                </c:pt>
                <c:pt idx="1">
                  <c:v>HDFCBANK.NS</c:v>
                </c:pt>
                <c:pt idx="2">
                  <c:v>TCS.NS</c:v>
                </c:pt>
                <c:pt idx="3">
                  <c:v>RELIANCE.NS</c:v>
                </c:pt>
                <c:pt idx="4">
                  <c:v>ADANIENT.NS</c:v>
                </c:pt>
                <c:pt idx="5">
                  <c:v>ICICIBANK.NS</c:v>
                </c:pt>
              </c:strCache>
            </c:strRef>
          </c:cat>
          <c:val>
            <c:numRef>
              <c:f>'Risk Metrics'!$C$2:$C$7</c:f>
              <c:numCache>
                <c:formatCode>General</c:formatCode>
                <c:ptCount val="6"/>
                <c:pt idx="0">
                  <c:v>26.24</c:v>
                </c:pt>
                <c:pt idx="1">
                  <c:v>19.01</c:v>
                </c:pt>
                <c:pt idx="2">
                  <c:v>22.34</c:v>
                </c:pt>
                <c:pt idx="3">
                  <c:v>20.13</c:v>
                </c:pt>
                <c:pt idx="4">
                  <c:v>33.07</c:v>
                </c:pt>
                <c:pt idx="5">
                  <c:v>18.61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Sector Allocation %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Allocation %</c:v>
          </c:tx>
          <c:cat>
            <c:strRef>
              <c:f>'Sector Allocation'!$A$2:$A$5</c:f>
              <c:strCache>
                <c:ptCount val="4"/>
                <c:pt idx="0">
                  <c:v>Banking</c:v>
                </c:pt>
                <c:pt idx="1">
                  <c:v>Energy</c:v>
                </c:pt>
                <c:pt idx="2">
                  <c:v>IT</c:v>
                </c:pt>
                <c:pt idx="3">
                  <c:v>Infrastructure</c:v>
                </c:pt>
              </c:strCache>
            </c:strRef>
          </c:cat>
          <c:val>
            <c:numRef>
              <c:f>'Sector Allocation'!$C$2:$C$5</c:f>
              <c:numCache>
                <c:formatCode>General</c:formatCode>
                <c:ptCount val="4"/>
                <c:pt idx="0">
                  <c:v>24.41</c:v>
                </c:pt>
                <c:pt idx="1">
                  <c:v>8.18</c:v>
                </c:pt>
                <c:pt idx="2">
                  <c:v>47.43</c:v>
                </c:pt>
                <c:pt idx="3">
                  <c:v>19.98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Portfolio Outperformance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Outperformance</c:v>
          </c:tx>
          <c:spPr>
            <a:solidFill>
              <a:srgbClr val="0F766E"/>
            </a:solidFill>
          </c:spPr>
          <c:cat>
            <c:strRef>
              <c:f>'Benchmark Comparison'!$A$2:$A$4</c:f>
              <c:strCache>
                <c:ptCount val="3"/>
                <c:pt idx="0">
                  <c:v>Aggressive</c:v>
                </c:pt>
                <c:pt idx="1">
                  <c:v>Balanced</c:v>
                </c:pt>
                <c:pt idx="2">
                  <c:v>Growth</c:v>
                </c:pt>
              </c:strCache>
            </c:strRef>
          </c:cat>
          <c:val>
            <c:numRef>
              <c:f>'Benchmark Comparison'!$G$2:$G$4</c:f>
              <c:numCache>
                <c:formatCode>General</c:formatCode>
                <c:ptCount val="3"/>
                <c:pt idx="0">
                  <c:v>-24.24</c:v>
                </c:pt>
                <c:pt idx="1">
                  <c:v>-15.25</c:v>
                </c:pt>
                <c:pt idx="2">
                  <c:v>-25.92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723900</xdr:colOff>
      <xdr:row>20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8</xdr:row>
      <xdr:rowOff>0</xdr:rowOff>
    </xdr:from>
    <xdr:to>
      <xdr:col>14</xdr:col>
      <xdr:colOff>114300</xdr:colOff>
      <xdr:row>20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2</xdr:col>
      <xdr:colOff>723900</xdr:colOff>
      <xdr:row>36</xdr:row>
      <xdr:rowOff>190500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25</xdr:row>
      <xdr:rowOff>0</xdr:rowOff>
    </xdr:from>
    <xdr:to>
      <xdr:col>14</xdr:col>
      <xdr:colOff>114300</xdr:colOff>
      <xdr:row>36</xdr:row>
      <xdr:rowOff>190500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7</xdr:col>
      <xdr:colOff>19050</xdr:colOff>
      <xdr:row>14</xdr:row>
      <xdr:rowOff>219075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</xdr:row>
      <xdr:rowOff>0</xdr:rowOff>
    </xdr:from>
    <xdr:to>
      <xdr:col>14</xdr:col>
      <xdr:colOff>114300</xdr:colOff>
      <xdr:row>14</xdr:row>
      <xdr:rowOff>219075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11</xdr:col>
      <xdr:colOff>276225</xdr:colOff>
      <xdr:row>27</xdr:row>
      <xdr:rowOff>238125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6</xdr:col>
      <xdr:colOff>933450</xdr:colOff>
      <xdr:row>15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</xdr:row>
      <xdr:rowOff>0</xdr:rowOff>
    </xdr:from>
    <xdr:to>
      <xdr:col>13</xdr:col>
      <xdr:colOff>323850</xdr:colOff>
      <xdr:row>15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7"/>
  <sheetViews>
    <sheetView showGridLines="0" tabSelected="1" workbookViewId="0"/>
  </sheetViews>
  <sheetFormatPr defaultRowHeight="21" customHeight="1"/>
  <cols>
    <col min="1" max="1" width="18.7109375" customWidth="1"/>
    <col min="2" max="2" width="78.7109375" customWidth="1"/>
    <col min="3" max="3" width="56.7109375" customWidth="1"/>
    <col min="4" max="12" width="14.7109375" customWidth="1"/>
  </cols>
  <sheetData>
    <row r="1" spans="1:12" ht="34" customHeight="1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6" customHeight="1">
      <c r="A2" s="2" t="s">
        <v>41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 ht="21" customHeight="1">
      <c r="A4" s="3" t="s">
        <v>42</v>
      </c>
      <c r="B4" s="3"/>
      <c r="C4" s="3" t="s">
        <v>8</v>
      </c>
      <c r="D4" s="3"/>
      <c r="E4" s="3" t="s">
        <v>44</v>
      </c>
      <c r="F4" s="3"/>
      <c r="G4" s="3" t="s">
        <v>45</v>
      </c>
      <c r="H4" s="3"/>
      <c r="I4" s="3" t="s">
        <v>46</v>
      </c>
      <c r="J4" s="3"/>
      <c r="K4" s="3" t="s">
        <v>47</v>
      </c>
      <c r="L4" s="3"/>
    </row>
    <row r="5" spans="1:12" ht="21" customHeight="1">
      <c r="A5" s="4">
        <v>114700</v>
      </c>
      <c r="B5" s="4"/>
      <c r="C5" s="5">
        <v>87773.7</v>
      </c>
      <c r="D5" s="5"/>
      <c r="E5" s="6">
        <v>-26926.3</v>
      </c>
      <c r="F5" s="6"/>
      <c r="G5" s="7">
        <v>-0.2347541412380122</v>
      </c>
      <c r="H5" s="7"/>
      <c r="I5" s="8">
        <v>-0.004000000000000001</v>
      </c>
      <c r="J5" s="8"/>
      <c r="K5" s="7">
        <v>-0.2307541412380122</v>
      </c>
      <c r="L5" s="7"/>
    </row>
    <row r="6" spans="1:12" ht="21" customHeight="1">
      <c r="A6" s="9" t="s">
        <v>43</v>
      </c>
      <c r="B6" s="9"/>
      <c r="C6" s="9" t="s">
        <v>43</v>
      </c>
      <c r="D6" s="9"/>
      <c r="E6" s="9" t="s">
        <v>43</v>
      </c>
      <c r="F6" s="9"/>
      <c r="G6" s="9" t="s">
        <v>43</v>
      </c>
      <c r="H6" s="9"/>
      <c r="I6" s="9" t="s">
        <v>43</v>
      </c>
      <c r="J6" s="9"/>
      <c r="K6" s="9" t="s">
        <v>43</v>
      </c>
      <c r="L6" s="9"/>
    </row>
    <row r="8" spans="1:12" ht="21" customHeight="1">
      <c r="A8" s="10" t="s">
        <v>48</v>
      </c>
      <c r="B8" s="10"/>
      <c r="C8" s="10"/>
      <c r="D8" s="10"/>
      <c r="E8" s="10"/>
      <c r="F8" s="10"/>
      <c r="G8" s="10" t="s">
        <v>49</v>
      </c>
      <c r="H8" s="10"/>
      <c r="I8" s="10"/>
      <c r="J8" s="10"/>
      <c r="K8" s="10"/>
      <c r="L8" s="10"/>
    </row>
    <row r="25" spans="1:12" ht="21" customHeight="1">
      <c r="A25" s="10" t="s">
        <v>50</v>
      </c>
      <c r="B25" s="10"/>
      <c r="C25" s="10"/>
      <c r="D25" s="10"/>
      <c r="E25" s="10"/>
      <c r="F25" s="10"/>
      <c r="G25" s="10" t="s">
        <v>51</v>
      </c>
      <c r="H25" s="10"/>
      <c r="I25" s="10"/>
      <c r="J25" s="10"/>
      <c r="K25" s="10"/>
      <c r="L25" s="10"/>
    </row>
    <row r="42" spans="1:12" ht="21" customHeight="1">
      <c r="A42" s="10" t="s">
        <v>52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</row>
    <row r="43" spans="1:12" ht="21" customHeight="1">
      <c r="A43" s="11" t="s">
        <v>53</v>
      </c>
      <c r="B43" s="11" t="s">
        <v>54</v>
      </c>
      <c r="C43" s="11" t="s">
        <v>55</v>
      </c>
    </row>
    <row r="44" spans="1:12" ht="42" customHeight="1">
      <c r="A44" s="12" t="s">
        <v>56</v>
      </c>
      <c r="B44" s="12" t="s">
        <v>57</v>
      </c>
      <c r="C44" s="12" t="s">
        <v>58</v>
      </c>
    </row>
    <row r="45" spans="1:12" ht="42" customHeight="1">
      <c r="A45" s="12" t="s">
        <v>59</v>
      </c>
      <c r="B45" s="12" t="s">
        <v>60</v>
      </c>
      <c r="C45" s="12" t="s">
        <v>61</v>
      </c>
    </row>
    <row r="46" spans="1:12" ht="42" customHeight="1">
      <c r="A46" s="12" t="s">
        <v>62</v>
      </c>
      <c r="B46" s="12" t="s">
        <v>63</v>
      </c>
      <c r="C46" s="12" t="s">
        <v>64</v>
      </c>
    </row>
    <row r="47" spans="1:12" ht="42" customHeight="1">
      <c r="A47" s="12" t="s">
        <v>65</v>
      </c>
      <c r="B47" s="12" t="s">
        <v>66</v>
      </c>
      <c r="C47" s="12" t="s">
        <v>67</v>
      </c>
    </row>
  </sheetData>
  <mergeCells count="25">
    <mergeCell ref="A1:L1"/>
    <mergeCell ref="A2:L2"/>
    <mergeCell ref="A4:B4"/>
    <mergeCell ref="A5:B5"/>
    <mergeCell ref="A6:B6"/>
    <mergeCell ref="C4:D4"/>
    <mergeCell ref="C5:D5"/>
    <mergeCell ref="C6:D6"/>
    <mergeCell ref="E4:F4"/>
    <mergeCell ref="E5:F5"/>
    <mergeCell ref="E6:F6"/>
    <mergeCell ref="G4:H4"/>
    <mergeCell ref="G5:H5"/>
    <mergeCell ref="G6:H6"/>
    <mergeCell ref="I4:J4"/>
    <mergeCell ref="I5:J5"/>
    <mergeCell ref="I6:J6"/>
    <mergeCell ref="K4:L4"/>
    <mergeCell ref="K5:L5"/>
    <mergeCell ref="K6:L6"/>
    <mergeCell ref="A8:F8"/>
    <mergeCell ref="G8:L8"/>
    <mergeCell ref="A25:F25"/>
    <mergeCell ref="G25:L25"/>
    <mergeCell ref="A42:L4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2"/>
  <sheetViews>
    <sheetView showGridLines="0" workbookViewId="0"/>
  </sheetViews>
  <sheetFormatPr defaultRowHeight="21" customHeight="1"/>
  <cols>
    <col min="1" max="1" width="16.7109375" customWidth="1"/>
    <col min="2" max="4" width="15.7109375" customWidth="1"/>
    <col min="5" max="12" width="14.7109375" customWidth="1"/>
  </cols>
  <sheetData>
    <row r="1" spans="1:12" ht="34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19" spans="1:12" ht="21" customHeight="1">
      <c r="A19" s="10" t="s">
        <v>70</v>
      </c>
      <c r="B19" s="10"/>
      <c r="C19" s="10"/>
      <c r="D19" s="10"/>
      <c r="E19" s="10"/>
    </row>
    <row r="20" spans="1:12" ht="21" customHeight="1">
      <c r="A20" s="13" t="s">
        <v>0</v>
      </c>
      <c r="B20" s="13" t="s">
        <v>7</v>
      </c>
      <c r="C20" s="13" t="s">
        <v>8</v>
      </c>
      <c r="D20" s="13" t="s">
        <v>9</v>
      </c>
      <c r="E20" s="13" t="s">
        <v>31</v>
      </c>
    </row>
    <row r="21" spans="1:12" ht="21" customHeight="1">
      <c r="A21" s="14" t="s">
        <v>14</v>
      </c>
      <c r="B21" s="15">
        <v>32800</v>
      </c>
      <c r="C21" s="15">
        <v>24717.3</v>
      </c>
      <c r="D21" s="15">
        <v>-8082.7</v>
      </c>
      <c r="E21" s="16">
        <v>-24.64</v>
      </c>
    </row>
    <row r="22" spans="1:12" ht="21" customHeight="1">
      <c r="A22" s="14" t="s">
        <v>13</v>
      </c>
      <c r="B22" s="15">
        <v>25400</v>
      </c>
      <c r="C22" s="15">
        <v>21424.4</v>
      </c>
      <c r="D22" s="15">
        <v>-3975.6</v>
      </c>
      <c r="E22" s="16">
        <v>-15.65</v>
      </c>
    </row>
    <row r="23" spans="1:12" ht="21" customHeight="1">
      <c r="A23" s="14" t="s">
        <v>12</v>
      </c>
      <c r="B23" s="15">
        <v>56500</v>
      </c>
      <c r="C23" s="15">
        <v>41632</v>
      </c>
      <c r="D23" s="15">
        <v>-14868</v>
      </c>
      <c r="E23" s="16">
        <v>-26.32</v>
      </c>
    </row>
    <row r="25" spans="1:12" ht="21" customHeight="1">
      <c r="A25" s="10" t="s">
        <v>71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</row>
    <row r="26" spans="1:12" ht="21" customHeight="1">
      <c r="A26" s="13" t="s">
        <v>0</v>
      </c>
      <c r="B26" s="13" t="s">
        <v>1</v>
      </c>
      <c r="C26" s="13" t="s">
        <v>2</v>
      </c>
      <c r="D26" s="13" t="s">
        <v>3</v>
      </c>
      <c r="E26" s="13" t="s">
        <v>4</v>
      </c>
      <c r="F26" s="13" t="s">
        <v>5</v>
      </c>
      <c r="G26" s="13" t="s">
        <v>6</v>
      </c>
      <c r="H26" s="13" t="s">
        <v>7</v>
      </c>
      <c r="I26" s="13" t="s">
        <v>8</v>
      </c>
      <c r="J26" s="13" t="s">
        <v>9</v>
      </c>
      <c r="K26" s="13" t="s">
        <v>10</v>
      </c>
      <c r="L26" s="13" t="s">
        <v>11</v>
      </c>
    </row>
    <row r="27" spans="1:12" ht="21" customHeight="1">
      <c r="A27" s="14" t="s">
        <v>12</v>
      </c>
      <c r="B27" s="14" t="s">
        <v>15</v>
      </c>
      <c r="C27" s="14" t="s">
        <v>21</v>
      </c>
      <c r="D27" s="14" t="s">
        <v>27</v>
      </c>
      <c r="E27" s="14">
        <v>10</v>
      </c>
      <c r="F27" s="15">
        <v>3400</v>
      </c>
      <c r="G27" s="15">
        <v>2394.4</v>
      </c>
      <c r="H27" s="15">
        <v>34000</v>
      </c>
      <c r="I27" s="15">
        <v>23944</v>
      </c>
      <c r="J27" s="15">
        <v>-10056</v>
      </c>
      <c r="K27" s="16">
        <v>-29.58</v>
      </c>
      <c r="L27" s="16">
        <v>-13.96</v>
      </c>
    </row>
    <row r="28" spans="1:12" ht="21" customHeight="1">
      <c r="A28" s="14" t="s">
        <v>12</v>
      </c>
      <c r="B28" s="14" t="s">
        <v>16</v>
      </c>
      <c r="C28" s="14" t="s">
        <v>22</v>
      </c>
      <c r="D28" s="14" t="s">
        <v>27</v>
      </c>
      <c r="E28" s="14">
        <v>15</v>
      </c>
      <c r="F28" s="15">
        <v>1500</v>
      </c>
      <c r="G28" s="15">
        <v>1179.2</v>
      </c>
      <c r="H28" s="15">
        <v>22500</v>
      </c>
      <c r="I28" s="15">
        <v>17688</v>
      </c>
      <c r="J28" s="15">
        <v>-4812</v>
      </c>
      <c r="K28" s="16">
        <v>-21.39</v>
      </c>
      <c r="L28" s="16">
        <v>-10.22</v>
      </c>
    </row>
    <row r="29" spans="1:12" ht="21" customHeight="1">
      <c r="A29" s="14" t="s">
        <v>13</v>
      </c>
      <c r="B29" s="14" t="s">
        <v>17</v>
      </c>
      <c r="C29" s="14" t="s">
        <v>23</v>
      </c>
      <c r="D29" s="14" t="s">
        <v>28</v>
      </c>
      <c r="E29" s="14">
        <v>8</v>
      </c>
      <c r="F29" s="15">
        <v>1600</v>
      </c>
      <c r="G29" s="15">
        <v>780.85</v>
      </c>
      <c r="H29" s="15">
        <v>12800</v>
      </c>
      <c r="I29" s="15">
        <v>6246.8</v>
      </c>
      <c r="J29" s="15">
        <v>-6553.2</v>
      </c>
      <c r="K29" s="16">
        <v>-51.2</v>
      </c>
      <c r="L29" s="16">
        <v>-28.03</v>
      </c>
    </row>
    <row r="30" spans="1:12" ht="21" customHeight="1">
      <c r="A30" s="14" t="s">
        <v>13</v>
      </c>
      <c r="B30" s="14" t="s">
        <v>18</v>
      </c>
      <c r="C30" s="14" t="s">
        <v>24</v>
      </c>
      <c r="D30" s="14" t="s">
        <v>28</v>
      </c>
      <c r="E30" s="14">
        <v>12</v>
      </c>
      <c r="F30" s="15">
        <v>1050</v>
      </c>
      <c r="G30" s="15">
        <v>1264.8</v>
      </c>
      <c r="H30" s="15">
        <v>12600</v>
      </c>
      <c r="I30" s="15">
        <v>15177.6</v>
      </c>
      <c r="J30" s="15">
        <v>2577.6</v>
      </c>
      <c r="K30" s="16">
        <v>20.46</v>
      </c>
      <c r="L30" s="16">
        <v>8.75</v>
      </c>
    </row>
    <row r="31" spans="1:12" ht="21" customHeight="1">
      <c r="A31" s="14" t="s">
        <v>14</v>
      </c>
      <c r="B31" s="14" t="s">
        <v>19</v>
      </c>
      <c r="C31" s="14" t="s">
        <v>25</v>
      </c>
      <c r="D31" s="14" t="s">
        <v>29</v>
      </c>
      <c r="E31" s="14">
        <v>5</v>
      </c>
      <c r="F31" s="15">
        <v>2500</v>
      </c>
      <c r="G31" s="15">
        <v>1435.2</v>
      </c>
      <c r="H31" s="15">
        <v>12500</v>
      </c>
      <c r="I31" s="15">
        <v>7176</v>
      </c>
      <c r="J31" s="15">
        <v>-5324</v>
      </c>
      <c r="K31" s="16">
        <v>-42.59</v>
      </c>
      <c r="L31" s="16">
        <v>-21.52</v>
      </c>
    </row>
    <row r="32" spans="1:12" ht="21" customHeight="1">
      <c r="A32" s="14" t="s">
        <v>14</v>
      </c>
      <c r="B32" s="14" t="s">
        <v>20</v>
      </c>
      <c r="C32" s="14" t="s">
        <v>26</v>
      </c>
      <c r="D32" s="14" t="s">
        <v>30</v>
      </c>
      <c r="E32" s="14">
        <v>7</v>
      </c>
      <c r="F32" s="15">
        <v>2900</v>
      </c>
      <c r="G32" s="15">
        <v>2505.9</v>
      </c>
      <c r="H32" s="15">
        <v>20300</v>
      </c>
      <c r="I32" s="15">
        <v>17541.3</v>
      </c>
      <c r="J32" s="15">
        <v>-2758.7</v>
      </c>
      <c r="K32" s="16">
        <v>-13.59</v>
      </c>
      <c r="L32" s="16">
        <v>-6.53</v>
      </c>
    </row>
  </sheetData>
  <mergeCells count="4">
    <mergeCell ref="A1:L1"/>
    <mergeCell ref="A2:L2"/>
    <mergeCell ref="A19:E19"/>
    <mergeCell ref="A25:L2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10"/>
  <sheetViews>
    <sheetView showGridLines="0" workbookViewId="0"/>
  </sheetViews>
  <sheetFormatPr defaultRowHeight="21" customHeight="1"/>
  <cols>
    <col min="1" max="12" width="14.7109375" customWidth="1"/>
  </cols>
  <sheetData>
    <row r="1" spans="1:13" ht="34" customHeight="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6" customHeight="1">
      <c r="A2" s="2" t="s">
        <v>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3" ht="21" customHeight="1">
      <c r="A4" s="13" t="s">
        <v>1</v>
      </c>
      <c r="B4" s="13" t="s">
        <v>33</v>
      </c>
      <c r="C4" s="13" t="s">
        <v>34</v>
      </c>
      <c r="D4" s="13" t="s">
        <v>35</v>
      </c>
      <c r="E4" s="13" t="s">
        <v>36</v>
      </c>
      <c r="G4" s="13" t="s">
        <v>39</v>
      </c>
      <c r="H4" s="13" t="s">
        <v>16</v>
      </c>
      <c r="I4" s="13" t="s">
        <v>17</v>
      </c>
      <c r="J4" s="13" t="s">
        <v>15</v>
      </c>
      <c r="K4" s="13" t="s">
        <v>19</v>
      </c>
      <c r="L4" s="13" t="s">
        <v>20</v>
      </c>
      <c r="M4" s="13" t="s">
        <v>18</v>
      </c>
    </row>
    <row r="5" spans="1:13" ht="21" customHeight="1">
      <c r="A5" s="14" t="s">
        <v>16</v>
      </c>
      <c r="B5" s="16">
        <v>-18.72</v>
      </c>
      <c r="C5" s="16">
        <v>26.24</v>
      </c>
      <c r="D5" s="16">
        <v>-0.98</v>
      </c>
      <c r="E5" s="16">
        <v>-31.82</v>
      </c>
      <c r="G5" s="14" t="s">
        <v>16</v>
      </c>
      <c r="H5" s="16">
        <v>1</v>
      </c>
      <c r="I5" s="16">
        <v>0.24815573213863</v>
      </c>
      <c r="J5" s="16">
        <v>0.798469860531245</v>
      </c>
      <c r="K5" s="16">
        <v>0.2522227837903271</v>
      </c>
      <c r="L5" s="16">
        <v>0.1848431966663686</v>
      </c>
      <c r="M5" s="16">
        <v>0.1762233574087837</v>
      </c>
    </row>
    <row r="6" spans="1:13" ht="21" customHeight="1">
      <c r="A6" s="14" t="s">
        <v>17</v>
      </c>
      <c r="B6" s="16">
        <v>-18.18</v>
      </c>
      <c r="C6" s="16">
        <v>19.01</v>
      </c>
      <c r="D6" s="16">
        <v>-1.32</v>
      </c>
      <c r="E6" s="16">
        <v>-27.78</v>
      </c>
      <c r="G6" s="14" t="s">
        <v>17</v>
      </c>
      <c r="H6" s="16">
        <v>0.24815573213863</v>
      </c>
      <c r="I6" s="16">
        <v>1</v>
      </c>
      <c r="J6" s="16">
        <v>0.2796357063348992</v>
      </c>
      <c r="K6" s="16">
        <v>0.4003968299742273</v>
      </c>
      <c r="L6" s="16">
        <v>0.4955188867821981</v>
      </c>
      <c r="M6" s="16">
        <v>0.6348563854538268</v>
      </c>
    </row>
    <row r="7" spans="1:13" ht="21" customHeight="1">
      <c r="A7" s="14" t="s">
        <v>15</v>
      </c>
      <c r="B7" s="16">
        <v>-30.97</v>
      </c>
      <c r="C7" s="16">
        <v>22.34</v>
      </c>
      <c r="D7" s="16">
        <v>-1.7</v>
      </c>
      <c r="E7" s="16">
        <v>-32.68</v>
      </c>
      <c r="G7" s="14" t="s">
        <v>15</v>
      </c>
      <c r="H7" s="16">
        <v>0.798469860531245</v>
      </c>
      <c r="I7" s="16">
        <v>0.2796357063348992</v>
      </c>
      <c r="J7" s="16">
        <v>1</v>
      </c>
      <c r="K7" s="16">
        <v>0.2653629085500302</v>
      </c>
      <c r="L7" s="16">
        <v>0.2314686904821504</v>
      </c>
      <c r="M7" s="16">
        <v>0.1798461392573142</v>
      </c>
    </row>
    <row r="8" spans="1:13" ht="21" customHeight="1">
      <c r="A8" s="14" t="s">
        <v>19</v>
      </c>
      <c r="B8" s="16">
        <v>4.43</v>
      </c>
      <c r="C8" s="16">
        <v>20.13</v>
      </c>
      <c r="D8" s="16">
        <v>-0.13</v>
      </c>
      <c r="E8" s="16">
        <v>-18.07</v>
      </c>
      <c r="G8" s="14" t="s">
        <v>19</v>
      </c>
      <c r="H8" s="16">
        <v>0.2522227837903271</v>
      </c>
      <c r="I8" s="16">
        <v>0.4003968299742273</v>
      </c>
      <c r="J8" s="16">
        <v>0.2653629085500302</v>
      </c>
      <c r="K8" s="16">
        <v>1</v>
      </c>
      <c r="L8" s="16">
        <v>0.3967398460426146</v>
      </c>
      <c r="M8" s="16">
        <v>0.1583311622263727</v>
      </c>
    </row>
    <row r="9" spans="1:13" ht="21" customHeight="1">
      <c r="A9" s="14" t="s">
        <v>20</v>
      </c>
      <c r="B9" s="16">
        <v>14.79</v>
      </c>
      <c r="C9" s="16">
        <v>33.07</v>
      </c>
      <c r="D9" s="16">
        <v>0.24</v>
      </c>
      <c r="E9" s="16">
        <v>-34.28</v>
      </c>
      <c r="G9" s="14" t="s">
        <v>20</v>
      </c>
      <c r="H9" s="16">
        <v>0.1848431966663686</v>
      </c>
      <c r="I9" s="16">
        <v>0.4955188867821981</v>
      </c>
      <c r="J9" s="16">
        <v>0.2314686904821504</v>
      </c>
      <c r="K9" s="16">
        <v>0.3967398460426146</v>
      </c>
      <c r="L9" s="16">
        <v>1</v>
      </c>
      <c r="M9" s="16">
        <v>0.4237913280405109</v>
      </c>
    </row>
    <row r="10" spans="1:13" ht="21" customHeight="1">
      <c r="A10" s="14" t="s">
        <v>18</v>
      </c>
      <c r="B10" s="16">
        <v>-10.31</v>
      </c>
      <c r="C10" s="16">
        <v>18.61</v>
      </c>
      <c r="D10" s="16">
        <v>-0.93</v>
      </c>
      <c r="E10" s="16">
        <v>-18.37</v>
      </c>
      <c r="G10" s="14" t="s">
        <v>18</v>
      </c>
      <c r="H10" s="16">
        <v>0.1762233574087837</v>
      </c>
      <c r="I10" s="16">
        <v>0.6348563854538268</v>
      </c>
      <c r="J10" s="16">
        <v>0.1798461392573142</v>
      </c>
      <c r="K10" s="16">
        <v>0.1583311622263727</v>
      </c>
      <c r="L10" s="16">
        <v>0.4237913280405109</v>
      </c>
      <c r="M10" s="16">
        <v>1</v>
      </c>
    </row>
  </sheetData>
  <mergeCells count="2">
    <mergeCell ref="A1:L1"/>
    <mergeCell ref="A2:L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L25"/>
  <sheetViews>
    <sheetView showGridLines="0" workbookViewId="0"/>
  </sheetViews>
  <sheetFormatPr defaultRowHeight="21" customHeight="1"/>
  <cols>
    <col min="1" max="12" width="15.7109375" customWidth="1"/>
  </cols>
  <sheetData>
    <row r="1" spans="1:12" ht="34" customHeight="1">
      <c r="A1" s="1" t="s">
        <v>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6" customHeight="1">
      <c r="A2" s="2" t="s">
        <v>75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20" spans="1:11" ht="21" customHeight="1">
      <c r="A20" s="10" t="s">
        <v>76</v>
      </c>
      <c r="B20" s="10"/>
      <c r="C20" s="10"/>
      <c r="E20" s="10" t="s">
        <v>77</v>
      </c>
      <c r="F20" s="10"/>
      <c r="G20" s="10"/>
      <c r="H20" s="10"/>
      <c r="I20" s="10"/>
      <c r="J20" s="10"/>
      <c r="K20" s="10"/>
    </row>
    <row r="21" spans="1:11" ht="21" customHeight="1">
      <c r="A21" s="13" t="s">
        <v>3</v>
      </c>
      <c r="B21" s="13" t="s">
        <v>8</v>
      </c>
      <c r="C21" s="13" t="s">
        <v>32</v>
      </c>
      <c r="E21" s="13" t="s">
        <v>0</v>
      </c>
      <c r="F21" s="13" t="s">
        <v>7</v>
      </c>
      <c r="G21" s="13" t="s">
        <v>8</v>
      </c>
      <c r="H21" s="13" t="s">
        <v>9</v>
      </c>
      <c r="I21" s="13" t="s">
        <v>31</v>
      </c>
      <c r="J21" s="13" t="s">
        <v>37</v>
      </c>
      <c r="K21" s="13" t="s">
        <v>38</v>
      </c>
    </row>
    <row r="22" spans="1:11" ht="21" customHeight="1">
      <c r="A22" s="14" t="s">
        <v>28</v>
      </c>
      <c r="B22" s="15">
        <v>21424.4</v>
      </c>
      <c r="C22" s="16">
        <v>24.41</v>
      </c>
      <c r="E22" s="14" t="s">
        <v>14</v>
      </c>
      <c r="F22" s="15">
        <v>32800</v>
      </c>
      <c r="G22" s="15">
        <v>24717.3</v>
      </c>
      <c r="H22" s="15">
        <v>-8082.7</v>
      </c>
      <c r="I22" s="16">
        <v>-24.64</v>
      </c>
      <c r="J22" s="16">
        <v>-0.4</v>
      </c>
      <c r="K22" s="16">
        <v>-24.24</v>
      </c>
    </row>
    <row r="23" spans="1:11" ht="21" customHeight="1">
      <c r="A23" s="14" t="s">
        <v>29</v>
      </c>
      <c r="B23" s="15">
        <v>7176</v>
      </c>
      <c r="C23" s="16">
        <v>8.18</v>
      </c>
      <c r="E23" s="14" t="s">
        <v>13</v>
      </c>
      <c r="F23" s="15">
        <v>25400</v>
      </c>
      <c r="G23" s="15">
        <v>21424.4</v>
      </c>
      <c r="H23" s="15">
        <v>-3975.6</v>
      </c>
      <c r="I23" s="16">
        <v>-15.65</v>
      </c>
      <c r="J23" s="16">
        <v>-0.4</v>
      </c>
      <c r="K23" s="16">
        <v>-15.25</v>
      </c>
    </row>
    <row r="24" spans="1:11" ht="21" customHeight="1">
      <c r="A24" s="14" t="s">
        <v>27</v>
      </c>
      <c r="B24" s="15">
        <v>41632</v>
      </c>
      <c r="C24" s="16">
        <v>47.43</v>
      </c>
      <c r="E24" s="14" t="s">
        <v>12</v>
      </c>
      <c r="F24" s="15">
        <v>56500</v>
      </c>
      <c r="G24" s="15">
        <v>41632</v>
      </c>
      <c r="H24" s="15">
        <v>-14868</v>
      </c>
      <c r="I24" s="16">
        <v>-26.32</v>
      </c>
      <c r="J24" s="16">
        <v>-0.4</v>
      </c>
      <c r="K24" s="16">
        <v>-25.92</v>
      </c>
    </row>
    <row r="25" spans="1:11" ht="21" customHeight="1">
      <c r="A25" s="14" t="s">
        <v>30</v>
      </c>
      <c r="B25" s="15">
        <v>17541.3</v>
      </c>
      <c r="C25" s="16">
        <v>19.98</v>
      </c>
    </row>
  </sheetData>
  <mergeCells count="4">
    <mergeCell ref="A1:L1"/>
    <mergeCell ref="A2:L2"/>
    <mergeCell ref="A20:C20"/>
    <mergeCell ref="E20:K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ySplit="1" topLeftCell="A2" activePane="bottomLeft" state="frozen"/>
      <selection pane="bottomLeft"/>
    </sheetView>
  </sheetViews>
  <sheetFormatPr defaultRowHeight="15"/>
  <cols>
    <col min="1" max="12" width="16.710937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 t="s">
        <v>15</v>
      </c>
      <c r="C2" t="s">
        <v>21</v>
      </c>
      <c r="D2" t="s">
        <v>27</v>
      </c>
      <c r="E2">
        <v>10</v>
      </c>
      <c r="F2">
        <v>3400</v>
      </c>
      <c r="G2">
        <v>2394.4</v>
      </c>
      <c r="H2">
        <v>34000</v>
      </c>
      <c r="I2">
        <v>23944</v>
      </c>
      <c r="J2">
        <v>-10056</v>
      </c>
      <c r="K2">
        <v>-29.58</v>
      </c>
      <c r="L2">
        <v>-13.96</v>
      </c>
    </row>
    <row r="3" spans="1:12">
      <c r="A3" t="s">
        <v>12</v>
      </c>
      <c r="B3" t="s">
        <v>16</v>
      </c>
      <c r="C3" t="s">
        <v>22</v>
      </c>
      <c r="D3" t="s">
        <v>27</v>
      </c>
      <c r="E3">
        <v>15</v>
      </c>
      <c r="F3">
        <v>1500</v>
      </c>
      <c r="G3">
        <v>1179.2</v>
      </c>
      <c r="H3">
        <v>22500</v>
      </c>
      <c r="I3">
        <v>17688</v>
      </c>
      <c r="J3">
        <v>-4812</v>
      </c>
      <c r="K3">
        <v>-21.39</v>
      </c>
      <c r="L3">
        <v>-10.22</v>
      </c>
    </row>
    <row r="4" spans="1:12">
      <c r="A4" t="s">
        <v>13</v>
      </c>
      <c r="B4" t="s">
        <v>17</v>
      </c>
      <c r="C4" t="s">
        <v>23</v>
      </c>
      <c r="D4" t="s">
        <v>28</v>
      </c>
      <c r="E4">
        <v>8</v>
      </c>
      <c r="F4">
        <v>1600</v>
      </c>
      <c r="G4">
        <v>780.85</v>
      </c>
      <c r="H4">
        <v>12800</v>
      </c>
      <c r="I4">
        <v>6246.8</v>
      </c>
      <c r="J4">
        <v>-6553.2</v>
      </c>
      <c r="K4">
        <v>-51.2</v>
      </c>
      <c r="L4">
        <v>-28.03</v>
      </c>
    </row>
    <row r="5" spans="1:12">
      <c r="A5" t="s">
        <v>13</v>
      </c>
      <c r="B5" t="s">
        <v>18</v>
      </c>
      <c r="C5" t="s">
        <v>24</v>
      </c>
      <c r="D5" t="s">
        <v>28</v>
      </c>
      <c r="E5">
        <v>12</v>
      </c>
      <c r="F5">
        <v>1050</v>
      </c>
      <c r="G5">
        <v>1264.8</v>
      </c>
      <c r="H5">
        <v>12600</v>
      </c>
      <c r="I5">
        <v>15177.6</v>
      </c>
      <c r="J5">
        <v>2577.6</v>
      </c>
      <c r="K5">
        <v>20.46</v>
      </c>
      <c r="L5">
        <v>8.75</v>
      </c>
    </row>
    <row r="6" spans="1:12">
      <c r="A6" t="s">
        <v>14</v>
      </c>
      <c r="B6" t="s">
        <v>19</v>
      </c>
      <c r="C6" t="s">
        <v>25</v>
      </c>
      <c r="D6" t="s">
        <v>29</v>
      </c>
      <c r="E6">
        <v>5</v>
      </c>
      <c r="F6">
        <v>2500</v>
      </c>
      <c r="G6">
        <v>1435.2</v>
      </c>
      <c r="H6">
        <v>12500</v>
      </c>
      <c r="I6">
        <v>7176</v>
      </c>
      <c r="J6">
        <v>-5324</v>
      </c>
      <c r="K6">
        <v>-42.59</v>
      </c>
      <c r="L6">
        <v>-21.52</v>
      </c>
    </row>
    <row r="7" spans="1:12">
      <c r="A7" t="s">
        <v>14</v>
      </c>
      <c r="B7" t="s">
        <v>20</v>
      </c>
      <c r="C7" t="s">
        <v>26</v>
      </c>
      <c r="D7" t="s">
        <v>30</v>
      </c>
      <c r="E7">
        <v>7</v>
      </c>
      <c r="F7">
        <v>2900</v>
      </c>
      <c r="G7">
        <v>2505.9</v>
      </c>
      <c r="H7">
        <v>20300</v>
      </c>
      <c r="I7">
        <v>17541.3</v>
      </c>
      <c r="J7">
        <v>-2758.7</v>
      </c>
      <c r="K7">
        <v>-13.59</v>
      </c>
      <c r="L7">
        <v>-6.53</v>
      </c>
    </row>
  </sheetData>
  <autoFilter ref="A1:L7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6.7109375" customWidth="1"/>
  </cols>
  <sheetData>
    <row r="1" spans="1:5">
      <c r="A1" t="s">
        <v>0</v>
      </c>
      <c r="B1" t="s">
        <v>7</v>
      </c>
      <c r="C1" t="s">
        <v>8</v>
      </c>
      <c r="D1" t="s">
        <v>9</v>
      </c>
      <c r="E1" t="s">
        <v>31</v>
      </c>
    </row>
    <row r="2" spans="1:5">
      <c r="A2" t="s">
        <v>14</v>
      </c>
      <c r="B2">
        <v>32800</v>
      </c>
      <c r="C2">
        <v>24717.3</v>
      </c>
      <c r="D2">
        <v>-8082.7</v>
      </c>
      <c r="E2">
        <v>-24.64</v>
      </c>
    </row>
    <row r="3" spans="1:5">
      <c r="A3" t="s">
        <v>13</v>
      </c>
      <c r="B3">
        <v>25400</v>
      </c>
      <c r="C3">
        <v>21424.4</v>
      </c>
      <c r="D3">
        <v>-3975.6</v>
      </c>
      <c r="E3">
        <v>-15.65</v>
      </c>
    </row>
    <row r="4" spans="1:5">
      <c r="A4" t="s">
        <v>12</v>
      </c>
      <c r="B4">
        <v>56500</v>
      </c>
      <c r="C4">
        <v>41632</v>
      </c>
      <c r="D4">
        <v>-14868</v>
      </c>
      <c r="E4">
        <v>-26.32</v>
      </c>
    </row>
  </sheetData>
  <autoFilter ref="A1:E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5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customWidth="1"/>
  </cols>
  <sheetData>
    <row r="1" spans="1:3">
      <c r="A1" t="s">
        <v>3</v>
      </c>
      <c r="B1" t="s">
        <v>8</v>
      </c>
      <c r="C1" t="s">
        <v>32</v>
      </c>
    </row>
    <row r="2" spans="1:3">
      <c r="A2" t="s">
        <v>28</v>
      </c>
      <c r="B2">
        <v>21424.4</v>
      </c>
      <c r="C2">
        <v>24.41</v>
      </c>
    </row>
    <row r="3" spans="1:3">
      <c r="A3" t="s">
        <v>29</v>
      </c>
      <c r="B3">
        <v>7176</v>
      </c>
      <c r="C3">
        <v>8.18</v>
      </c>
    </row>
    <row r="4" spans="1:3">
      <c r="A4" t="s">
        <v>27</v>
      </c>
      <c r="B4">
        <v>41632</v>
      </c>
      <c r="C4">
        <v>47.43</v>
      </c>
    </row>
    <row r="5" spans="1:3">
      <c r="A5" t="s">
        <v>30</v>
      </c>
      <c r="B5">
        <v>17541.3</v>
      </c>
      <c r="C5">
        <v>19.98</v>
      </c>
    </row>
  </sheetData>
  <autoFilter ref="A1:C5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7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6.7109375" customWidth="1"/>
  </cols>
  <sheetData>
    <row r="1" spans="1:5">
      <c r="A1" t="s">
        <v>1</v>
      </c>
      <c r="B1" t="s">
        <v>33</v>
      </c>
      <c r="C1" t="s">
        <v>34</v>
      </c>
      <c r="D1" t="s">
        <v>35</v>
      </c>
      <c r="E1" t="s">
        <v>36</v>
      </c>
    </row>
    <row r="2" spans="1:5">
      <c r="A2" t="s">
        <v>16</v>
      </c>
      <c r="B2">
        <v>-18.72</v>
      </c>
      <c r="C2">
        <v>26.24</v>
      </c>
      <c r="D2">
        <v>-0.98</v>
      </c>
      <c r="E2">
        <v>-31.82</v>
      </c>
    </row>
    <row r="3" spans="1:5">
      <c r="A3" t="s">
        <v>17</v>
      </c>
      <c r="B3">
        <v>-18.18</v>
      </c>
      <c r="C3">
        <v>19.01</v>
      </c>
      <c r="D3">
        <v>-1.32</v>
      </c>
      <c r="E3">
        <v>-27.78</v>
      </c>
    </row>
    <row r="4" spans="1:5">
      <c r="A4" t="s">
        <v>15</v>
      </c>
      <c r="B4">
        <v>-30.97</v>
      </c>
      <c r="C4">
        <v>22.34</v>
      </c>
      <c r="D4">
        <v>-1.7</v>
      </c>
      <c r="E4">
        <v>-32.68</v>
      </c>
    </row>
    <row r="5" spans="1:5">
      <c r="A5" t="s">
        <v>19</v>
      </c>
      <c r="B5">
        <v>4.43</v>
      </c>
      <c r="C5">
        <v>20.13</v>
      </c>
      <c r="D5">
        <v>-0.13</v>
      </c>
      <c r="E5">
        <v>-18.07</v>
      </c>
    </row>
    <row r="6" spans="1:5">
      <c r="A6" t="s">
        <v>20</v>
      </c>
      <c r="B6">
        <v>14.79</v>
      </c>
      <c r="C6">
        <v>33.07</v>
      </c>
      <c r="D6">
        <v>0.24</v>
      </c>
      <c r="E6">
        <v>-34.28</v>
      </c>
    </row>
    <row r="7" spans="1:5">
      <c r="A7" t="s">
        <v>18</v>
      </c>
      <c r="B7">
        <v>-10.31</v>
      </c>
      <c r="C7">
        <v>18.61</v>
      </c>
      <c r="D7">
        <v>-0.93</v>
      </c>
      <c r="E7">
        <v>-18.37</v>
      </c>
    </row>
  </sheetData>
  <autoFilter ref="A1:E7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6.7109375" customWidth="1"/>
  </cols>
  <sheetData>
    <row r="1" spans="1:7">
      <c r="A1" t="s">
        <v>0</v>
      </c>
      <c r="B1" t="s">
        <v>7</v>
      </c>
      <c r="C1" t="s">
        <v>8</v>
      </c>
      <c r="D1" t="s">
        <v>9</v>
      </c>
      <c r="E1" t="s">
        <v>31</v>
      </c>
      <c r="F1" t="s">
        <v>37</v>
      </c>
      <c r="G1" t="s">
        <v>38</v>
      </c>
    </row>
    <row r="2" spans="1:7">
      <c r="A2" t="s">
        <v>14</v>
      </c>
      <c r="B2">
        <v>32800</v>
      </c>
      <c r="C2">
        <v>24717.3</v>
      </c>
      <c r="D2">
        <v>-8082.7</v>
      </c>
      <c r="E2">
        <v>-24.64</v>
      </c>
      <c r="F2">
        <v>-0.4</v>
      </c>
      <c r="G2">
        <v>-24.24</v>
      </c>
    </row>
    <row r="3" spans="1:7">
      <c r="A3" t="s">
        <v>13</v>
      </c>
      <c r="B3">
        <v>25400</v>
      </c>
      <c r="C3">
        <v>21424.4</v>
      </c>
      <c r="D3">
        <v>-3975.6</v>
      </c>
      <c r="E3">
        <v>-15.65</v>
      </c>
      <c r="F3">
        <v>-0.4</v>
      </c>
      <c r="G3">
        <v>-15.25</v>
      </c>
    </row>
    <row r="4" spans="1:7">
      <c r="A4" t="s">
        <v>12</v>
      </c>
      <c r="B4">
        <v>56500</v>
      </c>
      <c r="C4">
        <v>41632</v>
      </c>
      <c r="D4">
        <v>-14868</v>
      </c>
      <c r="E4">
        <v>-26.32</v>
      </c>
      <c r="F4">
        <v>-0.4</v>
      </c>
      <c r="G4">
        <v>-25.92</v>
      </c>
    </row>
  </sheetData>
  <autoFilter ref="A1:G4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6.7109375" customWidth="1"/>
  </cols>
  <sheetData>
    <row r="1" spans="1:7">
      <c r="A1" t="s">
        <v>39</v>
      </c>
      <c r="B1" t="s">
        <v>16</v>
      </c>
      <c r="C1" t="s">
        <v>17</v>
      </c>
      <c r="D1" t="s">
        <v>15</v>
      </c>
      <c r="E1" t="s">
        <v>19</v>
      </c>
      <c r="F1" t="s">
        <v>20</v>
      </c>
      <c r="G1" t="s">
        <v>18</v>
      </c>
    </row>
    <row r="2" spans="1:7">
      <c r="A2" t="s">
        <v>16</v>
      </c>
      <c r="B2">
        <v>1</v>
      </c>
      <c r="C2">
        <v>0.24815573213863</v>
      </c>
      <c r="D2">
        <v>0.798469860531245</v>
      </c>
      <c r="E2">
        <v>0.2522227837903271</v>
      </c>
      <c r="F2">
        <v>0.1848431966663686</v>
      </c>
      <c r="G2">
        <v>0.1762233574087837</v>
      </c>
    </row>
    <row r="3" spans="1:7">
      <c r="A3" t="s">
        <v>17</v>
      </c>
      <c r="B3">
        <v>0.24815573213863</v>
      </c>
      <c r="C3">
        <v>1</v>
      </c>
      <c r="D3">
        <v>0.2796357063348992</v>
      </c>
      <c r="E3">
        <v>0.4003968299742273</v>
      </c>
      <c r="F3">
        <v>0.4955188867821981</v>
      </c>
      <c r="G3">
        <v>0.6348563854538268</v>
      </c>
    </row>
    <row r="4" spans="1:7">
      <c r="A4" t="s">
        <v>15</v>
      </c>
      <c r="B4">
        <v>0.798469860531245</v>
      </c>
      <c r="C4">
        <v>0.2796357063348992</v>
      </c>
      <c r="D4">
        <v>1</v>
      </c>
      <c r="E4">
        <v>0.2653629085500302</v>
      </c>
      <c r="F4">
        <v>0.2314686904821504</v>
      </c>
      <c r="G4">
        <v>0.1798461392573142</v>
      </c>
    </row>
    <row r="5" spans="1:7">
      <c r="A5" t="s">
        <v>19</v>
      </c>
      <c r="B5">
        <v>0.2522227837903271</v>
      </c>
      <c r="C5">
        <v>0.4003968299742273</v>
      </c>
      <c r="D5">
        <v>0.2653629085500302</v>
      </c>
      <c r="E5">
        <v>1</v>
      </c>
      <c r="F5">
        <v>0.3967398460426146</v>
      </c>
      <c r="G5">
        <v>0.1583311622263727</v>
      </c>
    </row>
    <row r="6" spans="1:7">
      <c r="A6" t="s">
        <v>20</v>
      </c>
      <c r="B6">
        <v>0.1848431966663686</v>
      </c>
      <c r="C6">
        <v>0.4955188867821981</v>
      </c>
      <c r="D6">
        <v>0.2314686904821504</v>
      </c>
      <c r="E6">
        <v>0.3967398460426146</v>
      </c>
      <c r="F6">
        <v>1</v>
      </c>
      <c r="G6">
        <v>0.4237913280405109</v>
      </c>
    </row>
    <row r="7" spans="1:7">
      <c r="A7" t="s">
        <v>18</v>
      </c>
      <c r="B7">
        <v>0.1762233574087837</v>
      </c>
      <c r="C7">
        <v>0.6348563854538268</v>
      </c>
      <c r="D7">
        <v>0.1798461392573142</v>
      </c>
      <c r="E7">
        <v>0.1583311622263727</v>
      </c>
      <c r="F7">
        <v>0.4237913280405109</v>
      </c>
      <c r="G7">
        <v>1</v>
      </c>
    </row>
  </sheetData>
  <autoFilter ref="A1:G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Executive Dashboard</vt:lpstr>
      <vt:lpstr>Portfolio Analytics</vt:lpstr>
      <vt:lpstr>Risk Analytics</vt:lpstr>
      <vt:lpstr>Allocation &amp; Benchmark</vt:lpstr>
      <vt:lpstr>Stock Analytics</vt:lpstr>
      <vt:lpstr>Portfolio Summary</vt:lpstr>
      <vt:lpstr>Sector Allocation</vt:lpstr>
      <vt:lpstr>Risk Metrics</vt:lpstr>
      <vt:lpstr>Benchmark Comparison</vt:lpstr>
      <vt:lpstr>Correlation Matrix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Family Investment Intelligence Dashboard</dc:title>
  <dc:subject>Portfolio risk analytics</dc:subject>
  <dc:creator>Portfolio Risk Analytics Pipeline</dc:creator>
  <cp:lastModifiedBy>Portfolio Risk Analytics Pipeline</cp:lastModifiedBy>
  <dcterms:created xsi:type="dcterms:W3CDTF">2026-05-10T06:16:16Z</dcterms:created>
  <dcterms:modified xsi:type="dcterms:W3CDTF">2026-05-10T06:16:16Z</dcterms:modified>
</cp:coreProperties>
</file>